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mroad" sheetId="1" state="visible" r:id="rId1"/>
    <sheet xmlns:r="http://schemas.openxmlformats.org/officeDocument/2006/relationships" name="Fiverr" sheetId="2" state="visible" r:id="rId2"/>
    <sheet xmlns:r="http://schemas.openxmlformats.org/officeDocument/2006/relationships" name="Malt" sheetId="3" state="visible" r:id="rId3"/>
    <sheet xmlns:r="http://schemas.openxmlformats.org/officeDocument/2006/relationships" name="Recap Mensuel" sheetId="4" state="visible" r:id="rId4"/>
    <sheet xmlns:r="http://schemas.openxmlformats.org/officeDocument/2006/relationships" name="Objecti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 &quot;EUR&quot;"/>
  </numFmts>
  <fonts count="5">
    <font>
      <name val="Calibri"/>
      <family val="2"/>
      <color theme="1"/>
      <sz val="11"/>
      <scheme val="minor"/>
    </font>
    <font>
      <b val="1"/>
      <color rgb="0000E5FF"/>
      <sz val="14"/>
    </font>
    <font>
      <b val="1"/>
      <color rgb="00FFFFFF"/>
      <sz val="11"/>
    </font>
    <font>
      <b val="1"/>
      <color rgb="00FFFFFF"/>
    </font>
    <font>
      <b val="1"/>
      <color rgb="0022C55E"/>
    </font>
  </fonts>
  <fills count="9">
    <fill>
      <patternFill/>
    </fill>
    <fill>
      <patternFill patternType="gray125"/>
    </fill>
    <fill>
      <patternFill patternType="solid">
        <fgColor rgb="000D0020"/>
      </patternFill>
    </fill>
    <fill>
      <patternFill patternType="solid">
        <fgColor rgb="007C3AED"/>
      </patternFill>
    </fill>
    <fill>
      <patternFill patternType="solid">
        <fgColor rgb="0022C55E"/>
      </patternFill>
    </fill>
    <fill>
      <patternFill patternType="solid">
        <fgColor rgb="001A0030"/>
      </patternFill>
    </fill>
    <fill>
      <patternFill patternType="solid">
        <fgColor rgb="00EAB308"/>
      </patternFill>
    </fill>
    <fill>
      <patternFill patternType="solid">
        <fgColor rgb="006B7280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3" fillId="3" borderId="0" pivotButton="0" quotePrefix="0" xfId="0"/>
    <xf numFmtId="165" fontId="3" fillId="4" borderId="0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2" fillId="5" borderId="0" applyAlignment="1" pivotButton="0" quotePrefix="0" xfId="0">
      <alignment horizontal="center" vertical="center" wrapText="1"/>
    </xf>
    <xf numFmtId="165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Revenus vs Objectifs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'Recap Mensuel'!E2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'Recap Mensuel'!$A$3:$A$8</f>
            </numRef>
          </cat>
          <val>
            <numRef>
              <f>'Recap Mensuel'!$E$3:$E$8</f>
            </numRef>
          </val>
        </ser>
        <ser>
          <idx val="1"/>
          <order val="1"/>
          <tx>
            <strRef>
              <f>'Recap Mensuel'!F2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'Recap Mensuel'!$A$3:$A$8</f>
            </numRef>
          </cat>
          <val>
            <numRef>
              <f>'Recap Mensuel'!$F$3:$F$8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WULIX — Suivi Ventes Gumroad</t>
        </is>
      </c>
    </row>
    <row r="2" ht="22" customHeight="1">
      <c r="A2" s="2" t="inlineStr">
        <is>
          <t>Date</t>
        </is>
      </c>
      <c r="B2" s="2" t="inlineStr">
        <is>
          <t>Produit</t>
        </is>
      </c>
      <c r="C2" s="2" t="inlineStr">
        <is>
          <t>Prix (EUR)</t>
        </is>
      </c>
      <c r="D2" s="2" t="inlineStr">
        <is>
          <t>Commission Gumroad (10%)</t>
        </is>
      </c>
      <c r="E2" s="2" t="inlineStr">
        <is>
          <t>Net Recu (EUR)</t>
        </is>
      </c>
      <c r="F2" s="2" t="inlineStr">
        <is>
          <t>Email acheteur</t>
        </is>
      </c>
      <c r="G2" s="2" t="inlineStr">
        <is>
          <t>Notes</t>
        </is>
      </c>
    </row>
    <row r="3">
      <c r="A3" s="3" t="n">
        <v>46130</v>
      </c>
      <c r="B3" s="4" t="inlineStr">
        <is>
          <t>Pack Scripts Python</t>
        </is>
      </c>
      <c r="C3" s="5" t="n">
        <v>29</v>
      </c>
      <c r="D3" s="5">
        <f>C3*0.1</f>
        <v/>
      </c>
      <c r="E3" s="5">
        <f>C3-D3</f>
        <v/>
      </c>
      <c r="F3" s="4" t="inlineStr">
        <is>
          <t>client@example.com</t>
        </is>
      </c>
      <c r="G3" s="4" t="inlineStr">
        <is>
          <t>Premiere vente</t>
        </is>
      </c>
    </row>
    <row r="4">
      <c r="A4" s="3" t="n">
        <v>46131</v>
      </c>
      <c r="B4" s="4" t="inlineStr">
        <is>
          <t>Guide PDF 9EUR</t>
        </is>
      </c>
      <c r="C4" s="5" t="n">
        <v>9</v>
      </c>
      <c r="D4" s="5">
        <f>C4*0.1</f>
        <v/>
      </c>
      <c r="E4" s="5">
        <f>C4-D4</f>
        <v/>
      </c>
      <c r="F4" s="4" t="inlineStr"/>
      <c r="G4" s="4" t="inlineStr"/>
    </row>
    <row r="5">
      <c r="A5" s="3" t="n">
        <v>46132</v>
      </c>
      <c r="B5" s="4" t="inlineStr">
        <is>
          <t>Pipeline LinkedIn</t>
        </is>
      </c>
      <c r="C5" s="5" t="n">
        <v>19</v>
      </c>
      <c r="D5" s="5">
        <f>C5*0.1</f>
        <v/>
      </c>
      <c r="E5" s="5">
        <f>C5-D5</f>
        <v/>
      </c>
      <c r="F5" s="4" t="inlineStr"/>
      <c r="G5" s="4" t="inlineStr"/>
    </row>
    <row r="7">
      <c r="A7" s="6" t="inlineStr">
        <is>
          <t>TOTAL</t>
        </is>
      </c>
      <c r="C7" s="7">
        <f>SUM(C3:C6)</f>
        <v/>
      </c>
      <c r="E7" s="7">
        <f>SUM(E3:E6)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WULIX — Suivi Missions Fiverr</t>
        </is>
      </c>
    </row>
    <row r="2">
      <c r="A2" s="2" t="inlineStr">
        <is>
          <t>Date</t>
        </is>
      </c>
      <c r="B2" s="2" t="inlineStr">
        <is>
          <t>Client</t>
        </is>
      </c>
      <c r="C2" s="2" t="inlineStr">
        <is>
          <t>Description mission</t>
        </is>
      </c>
      <c r="D2" s="2" t="inlineStr">
        <is>
          <t>Prix brut (EUR)</t>
        </is>
      </c>
      <c r="E2" s="2" t="inlineStr">
        <is>
          <t>Commission Fiverr (20%)</t>
        </is>
      </c>
      <c r="F2" s="2" t="inlineStr">
        <is>
          <t>Net Recu (EUR)</t>
        </is>
      </c>
      <c r="G2" s="2" t="inlineStr">
        <is>
          <t>Statut</t>
        </is>
      </c>
    </row>
    <row r="3">
      <c r="A3" s="8" t="n">
        <v>46127</v>
      </c>
      <c r="B3" s="9" t="inlineStr">
        <is>
          <t>client_us</t>
        </is>
      </c>
      <c r="C3" s="9" t="inlineStr">
        <is>
          <t>Script automatisation Python</t>
        </is>
      </c>
      <c r="D3" s="10" t="n">
        <v>150</v>
      </c>
      <c r="E3" s="10">
        <f>D3*0.2</f>
        <v/>
      </c>
      <c r="F3" s="10">
        <f>D3-E3</f>
        <v/>
      </c>
      <c r="G3" s="9" t="inlineStr">
        <is>
          <t>Livre</t>
        </is>
      </c>
    </row>
    <row r="4">
      <c r="A4" s="8" t="n">
        <v>46129</v>
      </c>
      <c r="B4" s="9" t="inlineStr">
        <is>
          <t>client_fr</t>
        </is>
      </c>
      <c r="C4" s="9" t="inlineStr">
        <is>
          <t>Agent IA scraping</t>
        </is>
      </c>
      <c r="D4" s="10" t="n">
        <v>75</v>
      </c>
      <c r="E4" s="10">
        <f>D4*0.2</f>
        <v/>
      </c>
      <c r="F4" s="10">
        <f>D4-E4</f>
        <v/>
      </c>
      <c r="G4" s="9" t="inlineStr">
        <is>
          <t>En cours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WULIX — Suivi Missions Malt</t>
        </is>
      </c>
    </row>
    <row r="2">
      <c r="A2" s="11" t="inlineStr">
        <is>
          <t>Mois</t>
        </is>
      </c>
      <c r="B2" s="11" t="inlineStr">
        <is>
          <t>Client</t>
        </is>
      </c>
      <c r="C2" s="11" t="inlineStr">
        <is>
          <t>Nb jours</t>
        </is>
      </c>
      <c r="D2" s="11" t="inlineStr">
        <is>
          <t>TJM (EUR)</t>
        </is>
      </c>
      <c r="E2" s="11" t="inlineStr">
        <is>
          <t>Brut (EUR)</t>
        </is>
      </c>
      <c r="F2" s="11" t="inlineStr">
        <is>
          <t>Commission Malt (10%)</t>
        </is>
      </c>
      <c r="G2" s="11" t="inlineStr">
        <is>
          <t>Net (EUR)</t>
        </is>
      </c>
    </row>
    <row r="3">
      <c r="A3" s="9" t="inlineStr">
        <is>
          <t>Avril 2026</t>
        </is>
      </c>
      <c r="B3" s="9" t="inlineStr">
        <is>
          <t>Client A</t>
        </is>
      </c>
      <c r="C3" s="9" t="n">
        <v>2</v>
      </c>
      <c r="D3" s="10" t="n">
        <v>350</v>
      </c>
      <c r="E3" s="10">
        <f>C3*D3</f>
        <v/>
      </c>
      <c r="F3" s="10">
        <f>E3*0.1</f>
        <v/>
      </c>
      <c r="G3" s="10">
        <f>E3-F3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WULIX — Recap Mensuel Consolide</t>
        </is>
      </c>
    </row>
    <row r="2">
      <c r="A2" s="11" t="inlineStr">
        <is>
          <t>Mois</t>
        </is>
      </c>
      <c r="B2" s="11" t="inlineStr">
        <is>
          <t>Gumroad (EUR)</t>
        </is>
      </c>
      <c r="C2" s="11" t="inlineStr">
        <is>
          <t>Fiverr (EUR)</t>
        </is>
      </c>
      <c r="D2" s="11" t="inlineStr">
        <is>
          <t>Malt (EUR)</t>
        </is>
      </c>
      <c r="E2" s="11" t="inlineStr">
        <is>
          <t>Total (EUR)</t>
        </is>
      </c>
      <c r="F2" s="11" t="inlineStr">
        <is>
          <t>Objectif (EUR)</t>
        </is>
      </c>
    </row>
    <row r="3">
      <c r="A3" s="9" t="inlineStr">
        <is>
          <t>Avril 2026</t>
        </is>
      </c>
      <c r="B3" s="10" t="n">
        <v>0</v>
      </c>
      <c r="C3" s="10" t="n">
        <v>0</v>
      </c>
      <c r="D3" s="10" t="n">
        <v>0</v>
      </c>
      <c r="E3" s="12">
        <f>B3+C3+D3</f>
        <v/>
      </c>
      <c r="F3" s="10" t="n">
        <v>500</v>
      </c>
    </row>
    <row r="4">
      <c r="A4" s="9" t="inlineStr">
        <is>
          <t>Mai 2026</t>
        </is>
      </c>
      <c r="B4" s="10" t="n">
        <v>0</v>
      </c>
      <c r="C4" s="10" t="n">
        <v>0</v>
      </c>
      <c r="D4" s="10" t="n">
        <v>0</v>
      </c>
      <c r="E4" s="12">
        <f>B4+C4+D4</f>
        <v/>
      </c>
      <c r="F4" s="10" t="n">
        <v>800</v>
      </c>
    </row>
    <row r="5">
      <c r="A5" s="9" t="inlineStr">
        <is>
          <t>Juin 2026</t>
        </is>
      </c>
      <c r="B5" s="10" t="n">
        <v>0</v>
      </c>
      <c r="C5" s="10" t="n">
        <v>0</v>
      </c>
      <c r="D5" s="10" t="n">
        <v>0</v>
      </c>
      <c r="E5" s="12">
        <f>B5+C5+D5</f>
        <v/>
      </c>
      <c r="F5" s="10" t="n">
        <v>1200</v>
      </c>
    </row>
    <row r="6">
      <c r="A6" s="9" t="inlineStr">
        <is>
          <t>Juillet 2026</t>
        </is>
      </c>
      <c r="B6" s="10" t="n">
        <v>0</v>
      </c>
      <c r="C6" s="10" t="n">
        <v>0</v>
      </c>
      <c r="D6" s="10" t="n">
        <v>0</v>
      </c>
      <c r="E6" s="12">
        <f>B6+C6+D6</f>
        <v/>
      </c>
      <c r="F6" s="10" t="n">
        <v>1500</v>
      </c>
    </row>
    <row r="7">
      <c r="A7" s="9" t="inlineStr">
        <is>
          <t>Aout 2026</t>
        </is>
      </c>
      <c r="B7" s="10" t="n">
        <v>0</v>
      </c>
      <c r="C7" s="10" t="n">
        <v>0</v>
      </c>
      <c r="D7" s="10" t="n">
        <v>0</v>
      </c>
      <c r="E7" s="12">
        <f>B7+C7+D7</f>
        <v/>
      </c>
      <c r="F7" s="10" t="n">
        <v>2000</v>
      </c>
    </row>
    <row r="8">
      <c r="A8" s="9" t="inlineStr">
        <is>
          <t>Septembre 2026</t>
        </is>
      </c>
      <c r="B8" s="10" t="n">
        <v>0</v>
      </c>
      <c r="C8" s="10" t="n">
        <v>0</v>
      </c>
      <c r="D8" s="10" t="n">
        <v>0</v>
      </c>
      <c r="E8" s="12">
        <f>B8+C8+D8</f>
        <v/>
      </c>
      <c r="F8" s="10" t="n">
        <v>2500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30" customHeight="1">
      <c r="A1" s="1" t="inlineStr">
        <is>
          <t>WULIX — Objectifs &amp; KPIs</t>
        </is>
      </c>
    </row>
    <row r="2">
      <c r="A2" s="13" t="inlineStr">
        <is>
          <t>KPI</t>
        </is>
      </c>
      <c r="B2" s="13" t="inlineStr">
        <is>
          <t>Objectif</t>
        </is>
      </c>
      <c r="C2" s="13" t="inlineStr">
        <is>
          <t>Statut</t>
        </is>
      </c>
    </row>
    <row r="3">
      <c r="A3" s="9" t="inlineStr">
        <is>
          <t>Revenu mensuel Avril 2026</t>
        </is>
      </c>
      <c r="B3" s="9" t="inlineStr">
        <is>
          <t>500 EUR</t>
        </is>
      </c>
      <c r="C3" s="14" t="inlineStr">
        <is>
          <t>En cours</t>
        </is>
      </c>
    </row>
    <row r="4">
      <c r="A4" s="9" t="inlineStr">
        <is>
          <t>Revenu mensuel Mai 2026</t>
        </is>
      </c>
      <c r="B4" s="9" t="inlineStr">
        <is>
          <t>800 EUR</t>
        </is>
      </c>
      <c r="C4" s="15" t="inlineStr">
        <is>
          <t>A venir</t>
        </is>
      </c>
    </row>
    <row r="5">
      <c r="A5" s="9" t="inlineStr">
        <is>
          <t>Ventes Gumroad Produit 1</t>
        </is>
      </c>
      <c r="B5" s="9" t="inlineStr">
        <is>
          <t>5 ventes/mois</t>
        </is>
      </c>
      <c r="C5" s="15" t="inlineStr">
        <is>
          <t>A venir</t>
        </is>
      </c>
    </row>
    <row r="6">
      <c r="A6" s="9" t="inlineStr">
        <is>
          <t>Ventes Gumroad Produit 2</t>
        </is>
      </c>
      <c r="B6" s="9" t="inlineStr">
        <is>
          <t>3 ventes/mois</t>
        </is>
      </c>
      <c r="C6" s="15" t="inlineStr">
        <is>
          <t>A venir</t>
        </is>
      </c>
    </row>
    <row r="7">
      <c r="A7" s="9" t="inlineStr">
        <is>
          <t>Ventes Gumroad Produit 3</t>
        </is>
      </c>
      <c r="B7" s="9" t="inlineStr">
        <is>
          <t>8 ventes/mois</t>
        </is>
      </c>
      <c r="C7" s="15" t="inlineStr">
        <is>
          <t>A venir</t>
        </is>
      </c>
    </row>
    <row r="8">
      <c r="A8" s="9" t="inlineStr">
        <is>
          <t>Missions Fiverr</t>
        </is>
      </c>
      <c r="B8" s="9" t="inlineStr">
        <is>
          <t>2 missions/mois</t>
        </is>
      </c>
      <c r="C8" s="14" t="inlineStr">
        <is>
          <t>En cours</t>
        </is>
      </c>
    </row>
    <row r="9">
      <c r="A9" s="9" t="inlineStr">
        <is>
          <t>Missions Malt</t>
        </is>
      </c>
      <c r="B9" s="9" t="inlineStr">
        <is>
          <t>1 mission/mois (350EUR/j)</t>
        </is>
      </c>
      <c r="C9" s="14" t="inlineStr">
        <is>
          <t>En cours</t>
        </is>
      </c>
    </row>
    <row r="10">
      <c r="A10" s="9" t="inlineStr">
        <is>
          <t>Profil Malt completude</t>
        </is>
      </c>
      <c r="B10" s="9" t="inlineStr">
        <is>
          <t>100% (photo manquante)</t>
        </is>
      </c>
      <c r="C10" s="14" t="inlineStr">
        <is>
          <t>En cours</t>
        </is>
      </c>
    </row>
    <row r="11">
      <c r="A11" s="9" t="inlineStr">
        <is>
          <t>Google Search Console</t>
        </is>
      </c>
      <c r="B11" s="9" t="inlineStr">
        <is>
          <t>Soumettre sitemap</t>
        </is>
      </c>
      <c r="C11" s="16" t="inlineStr">
        <is>
          <t>A faire</t>
        </is>
      </c>
    </row>
    <row r="12">
      <c r="A12" s="9" t="inlineStr">
        <is>
          <t>Abonnes LinkedIn</t>
        </is>
      </c>
      <c r="B12" s="9" t="inlineStr">
        <is>
          <t>+100/mois</t>
        </is>
      </c>
      <c r="C12" s="15" t="inlineStr">
        <is>
          <t>A venir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2026-04-18T19:16:04Z</dcterms:created>
  <dcterms:modified xmlns:dcterms="http://purl.org/dc/terms/" xmlns:xsi="http://www.w3.org/2001/XMLSchema-instance" xsi:type="dcterms:W3CDTF">2026-04-18T19:16:04Z</dcterms:modified>
</cp:coreProperties>
</file>